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bd5c4f049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納品一覧" sheetId="1" r:id="Rc37136ee70ed437b"/>
    <x:sheet xmlns:r="http://schemas.openxmlformats.org/officeDocument/2006/relationships" name="架空入力" sheetId="2" r:id="Rb285702e8033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sz val="11"/>
      <x:color rgb="FF233042"/>
      <x:name val="Arial"/>
    </x:font>
    <x:font>
      <x:b/>
      <x:sz val="15"/>
      <x:color rgb="FF233042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B5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/>
    <x:xf numFmtId="201" fontId="3" fillId="2" borderId="0" xfId="0" applyNumberFormat="1" applyFont="1" applyFill="1" applyBorder="1"/>
    <x:xf numFmtId="201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7A4C00"/>
      </x:font>
      <x:fill>
        <x:patternFill patternType="solid"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0368477bc44c5" /><Relationship Type="http://schemas.openxmlformats.org/officeDocument/2006/relationships/theme" Target="/xl/theme/theme1.xml" Id="R8703ec75370c4dbb" /><Relationship Type="http://schemas.openxmlformats.org/officeDocument/2006/relationships/sharedStrings" Target="/xl/sharedStrings.xml" Id="R2f358244b9774179" /><Relationship Type="http://schemas.openxmlformats.org/officeDocument/2006/relationships/worksheet" Target="/xl/worksheets/sheet1.xml" Id="Rc37136ee70ed437b" /><Relationship Type="http://schemas.openxmlformats.org/officeDocument/2006/relationships/worksheet" Target="/xl/worksheets/sheet2.xml" Id="Rb285702e803343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5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7" hidden="0" customWidth="1"/>
    <x:col min="9" max="9" width="9" hidden="0" customWidth="1"/>
    <x:col min="10" max="10" width="25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2" t="str">
        <x:v>広告レポート整理｜架空の納品見本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5" customHeight="1">
      <x:c r="A3" s="1" t="str">
        <x:v>対象：2026年8月／媒体別に保持／費用欠損1件は確定前の要確認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7" t="str">
        <x:v>媒体</x:v>
      </x:c>
      <x:c r="B5" s="7" t="str">
        <x:v>行数</x:v>
      </x:c>
      <x:c r="C5" s="7" t="str">
        <x:v>費用合計（円）</x:v>
      </x:c>
      <x:c r="D5" s="7" t="str">
        <x:v>扱い</x:v>
      </x:c>
      <x:c r="E5" s="1"/>
      <x:c r="F5" s="1"/>
      <x:c r="G5" s="1"/>
      <x:c r="H5" s="1"/>
      <x:c r="I5" s="1"/>
      <x:c r="J5" s="1"/>
    </x:row>
    <x:row r="6" ht="25" customHeight="1">
      <x:c r="A6" s="1" t="str">
        <x:v>Google広告</x:v>
      </x:c>
      <x:c r="B6" s="1" t="n">
        <x:f>COUNTA('架空入力'!A6:A7)</x:f>
        <x:v>2</x:v>
      </x:c>
      <x:c r="C6" s="4" t="n">
        <x:f>SUM('架空入力'!E6:E7)</x:f>
        <x:v>25000</x:v>
      </x:c>
      <x:c r="D6" s="1" t="str">
        <x:v>全2行に費用あり</x:v>
      </x:c>
      <x:c r="E6" s="1"/>
      <x:c r="F6" s="1"/>
      <x:c r="G6" s="1"/>
      <x:c r="H6" s="1"/>
      <x:c r="I6" s="1"/>
      <x:c r="J6" s="1"/>
    </x:row>
    <x:row r="7" ht="25" customHeight="1">
      <x:c r="A7" s="1" t="str">
        <x:v>Meta広告</x:v>
      </x:c>
      <x:c r="B7" s="1" t="n">
        <x:f>COUNTA('架空入力'!A11:A13)</x:f>
        <x:v>3</x:v>
      </x:c>
      <x:c r="C7" s="4" t="str">
        <x:f>IF(COUNT('架空入力'!E11:E13)=B7,SUM('架空入力'!E11:E13),"未確定")</x:f>
        <x:v>未確定</x:v>
      </x:c>
      <x:c r="D7" s="1" t="str">
        <x:v>費用欠損あり：合計未確定</x:v>
      </x:c>
      <x:c r="E7" s="1"/>
      <x:c r="F7" s="1"/>
      <x:c r="G7" s="1"/>
      <x:c r="H7" s="1"/>
      <x:c r="I7" s="1"/>
      <x:c r="J7" s="1"/>
    </x:row>
    <x:row r="8" ht="2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30" customHeight="1">
      <x:c r="A10" s="7" t="str">
        <x:v>媒体</x:v>
      </x:c>
      <x:c r="B10" s="7" t="str">
        <x:v>日付</x:v>
      </x:c>
      <x:c r="C10" s="7" t="str">
        <x:v>キャンペーン</x:v>
      </x:c>
      <x:c r="D10" s="7" t="str">
        <x:v>表示回数</x:v>
      </x:c>
      <x:c r="E10" s="7" t="str">
        <x:v>クリック値</x:v>
      </x:c>
      <x:c r="F10" s="7" t="str">
        <x:v>クリック指標</x:v>
      </x:c>
      <x:c r="G10" s="7" t="str">
        <x:v>費用（円）</x:v>
      </x:c>
      <x:c r="H10" s="7" t="str">
        <x:v>元ファイル</x:v>
      </x:c>
      <x:c r="I10" s="7" t="str">
        <x:v>元行</x:v>
      </x:c>
      <x:c r="J10" s="7" t="str">
        <x:v>確認状態</x:v>
      </x:c>
    </x:row>
    <x:row r="11" ht="25" customHeight="1">
      <x:c r="A11" s="1" t="str">
        <x:v>Google広告</x:v>
      </x:c>
      <x:c r="B11" s="3" t="n">
        <x:f>'架空入力'!A6</x:f>
        <x:v>46235</x:v>
      </x:c>
      <x:c r="C11" s="1" t="str">
        <x:f>'架空入力'!B6</x:f>
        <x:v>Search_A</x:v>
      </x:c>
      <x:c r="D11" s="4" t="n">
        <x:f>'架空入力'!C6</x:f>
        <x:v>3200</x:v>
      </x:c>
      <x:c r="E11" s="4" t="n">
        <x:f>'架空入力'!D6</x:f>
        <x:v>76</x:v>
      </x:c>
      <x:c r="F11" s="1" t="str">
        <x:v>clicks</x:v>
      </x:c>
      <x:c r="G11" s="4" t="n">
        <x:f>IF(ISNUMBER('架空入力'!E6),'架空入力'!E6,"未確認")</x:f>
        <x:v>18000</x:v>
      </x:c>
      <x:c r="H11" s="1" t="str">
        <x:v>google_fictional.csv</x:v>
      </x:c>
      <x:c r="I11" s="1" t="n">
        <x:v>2</x:v>
      </x:c>
      <x:c r="J11" s="1" t="str">
        <x:f>IF(ISNUMBER(G11),"数値あり","費用欠損・要確認")</x:f>
        <x:v>数値あり</x:v>
      </x:c>
    </x:row>
    <x:row r="12" ht="25" customHeight="1">
      <x:c r="A12" s="1" t="str">
        <x:v>Google広告</x:v>
      </x:c>
      <x:c r="B12" s="3" t="n">
        <x:f>'架空入力'!A7</x:f>
        <x:v>46236</x:v>
      </x:c>
      <x:c r="C12" s="1" t="str">
        <x:f>'架空入力'!B7</x:f>
        <x:v>Brand_B</x:v>
      </x:c>
      <x:c r="D12" s="4" t="n">
        <x:f>'架空入力'!C7</x:f>
        <x:v>1900</x:v>
      </x:c>
      <x:c r="E12" s="4" t="n">
        <x:f>'架空入力'!D7</x:f>
        <x:v>54</x:v>
      </x:c>
      <x:c r="F12" s="1" t="str">
        <x:v>clicks</x:v>
      </x:c>
      <x:c r="G12" s="4" t="n">
        <x:f>IF(ISNUMBER('架空入力'!E7),'架空入力'!E7,"未確認")</x:f>
        <x:v>7000</x:v>
      </x:c>
      <x:c r="H12" s="1" t="str">
        <x:v>google_fictional.csv</x:v>
      </x:c>
      <x:c r="I12" s="1" t="n">
        <x:v>3</x:v>
      </x:c>
      <x:c r="J12" s="1" t="str">
        <x:f>IF(ISNUMBER(G12),"数値あり","費用欠損・要確認")</x:f>
        <x:v>数値あり</x:v>
      </x:c>
    </x:row>
    <x:row r="13" ht="25" customHeight="1">
      <x:c r="A13" s="1" t="str">
        <x:v>Meta広告</x:v>
      </x:c>
      <x:c r="B13" s="3" t="n">
        <x:f>'架空入力'!A11</x:f>
        <x:v>46235</x:v>
      </x:c>
      <x:c r="C13" s="1" t="str">
        <x:f>'架空入力'!B11</x:f>
        <x:v>Lead_C</x:v>
      </x:c>
      <x:c r="D13" s="4" t="n">
        <x:f>'架空入力'!C11</x:f>
        <x:v>4400</x:v>
      </x:c>
      <x:c r="E13" s="4" t="n">
        <x:f>'架空入力'!D11</x:f>
        <x:v>39</x:v>
      </x:c>
      <x:c r="F13" s="1" t="str">
        <x:v>link_clicks</x:v>
      </x:c>
      <x:c r="G13" s="4" t="n">
        <x:f>IF(ISNUMBER('架空入力'!E11),'架空入力'!E11,"未確認")</x:f>
        <x:v>19000</x:v>
      </x:c>
      <x:c r="H13" s="1" t="str">
        <x:v>meta_fictional.csv</x:v>
      </x:c>
      <x:c r="I13" s="1" t="n">
        <x:v>2</x:v>
      </x:c>
      <x:c r="J13" s="1" t="str">
        <x:f>IF(ISNUMBER(G13),"数値あり","費用欠損・要確認")</x:f>
        <x:v>数値あり</x:v>
      </x:c>
    </x:row>
    <x:row r="14" ht="25" customHeight="1">
      <x:c r="A14" s="1" t="str">
        <x:v>Meta広告</x:v>
      </x:c>
      <x:c r="B14" s="3" t="n">
        <x:f>'架空入力'!A12</x:f>
        <x:v>46236</x:v>
      </x:c>
      <x:c r="C14" s="1" t="str">
        <x:f>'架空入力'!B12</x:f>
        <x:v>Remarketing_D</x:v>
      </x:c>
      <x:c r="D14" s="4" t="n">
        <x:f>'架空入力'!C12</x:f>
        <x:v>2100</x:v>
      </x:c>
      <x:c r="E14" s="4" t="n">
        <x:f>'架空入力'!D12</x:f>
        <x:v>22</x:v>
      </x:c>
      <x:c r="F14" s="1" t="str">
        <x:v>link_clicks</x:v>
      </x:c>
      <x:c r="G14" s="4" t="n">
        <x:f>IF(ISNUMBER('架空入力'!E12),'架空入力'!E12,"未確認")</x:f>
        <x:v>11000</x:v>
      </x:c>
      <x:c r="H14" s="1" t="str">
        <x:v>meta_fictional.csv</x:v>
      </x:c>
      <x:c r="I14" s="1" t="n">
        <x:v>3</x:v>
      </x:c>
      <x:c r="J14" s="1" t="str">
        <x:f>IF(ISNUMBER(G14),"数値あり","費用欠損・要確認")</x:f>
        <x:v>数値あり</x:v>
      </x:c>
    </x:row>
    <x:row r="15" ht="25" customHeight="1">
      <x:c r="A15" s="1" t="str">
        <x:v>Meta広告</x:v>
      </x:c>
      <x:c r="B15" s="3" t="n">
        <x:f>'架空入力'!A13</x:f>
        <x:v>46237</x:v>
      </x:c>
      <x:c r="C15" s="1" t="str">
        <x:f>'架空入力'!B13</x:f>
        <x:v>Missing_cost</x:v>
      </x:c>
      <x:c r="D15" s="4" t="n">
        <x:f>'架空入力'!C13</x:f>
        <x:v>1200</x:v>
      </x:c>
      <x:c r="E15" s="4" t="n">
        <x:f>'架空入力'!D13</x:f>
        <x:v>12</x:v>
      </x:c>
      <x:c r="F15" s="1" t="str">
        <x:v>link_clicks</x:v>
      </x:c>
      <x:c r="G15" s="4" t="str">
        <x:f>IF(ISNUMBER('架空入力'!E13),'架空入力'!E13,"未確認")</x:f>
        <x:v>未確認</x:v>
      </x:c>
      <x:c r="H15" s="1" t="str">
        <x:v>meta_fictional.csv</x:v>
      </x:c>
      <x:c r="I15" s="1" t="n">
        <x:v>4</x:v>
      </x:c>
      <x:c r="J15" s="1" t="str">
        <x:f>IF(ISNUMBER(G15),"数値あり","費用欠損・要確認")</x:f>
        <x:v>費用欠損・要確認</x:v>
      </x:c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30" customHeight="1">
      <x:c r="A18" s="7" t="str">
        <x:v>照合項目</x:v>
      </x:c>
      <x:c r="B18" s="7" t="str">
        <x:v>入力</x:v>
      </x:c>
      <x:c r="C18" s="7" t="str">
        <x:v>出力</x:v>
      </x:c>
      <x:c r="D18" s="7" t="str">
        <x:v>差</x:v>
      </x:c>
      <x:c r="E18" s="7" t="str">
        <x:v>判定</x:v>
      </x:c>
      <x:c r="F18" s="1"/>
      <x:c r="G18" s="1"/>
      <x:c r="H18" s="1"/>
      <x:c r="I18" s="1"/>
      <x:c r="J18" s="1"/>
    </x:row>
    <x:row r="19" ht="25" customHeight="1">
      <x:c r="A19" s="1" t="str">
        <x:v>Google 行数</x:v>
      </x:c>
      <x:c r="B19" s="4" t="n">
        <x:f>COUNTA('架空入力'!A6:A7)</x:f>
        <x:v>2</x:v>
      </x:c>
      <x:c r="C19" s="4" t="n">
        <x:f>COUNTIFS(A11:A15,"Google広告")</x:f>
        <x:v>2</x:v>
      </x:c>
      <x:c r="D19" s="4" t="n">
        <x:f>C19-B19</x:f>
        <x:v>0</x:v>
      </x:c>
      <x:c r="E19" s="1" t="str">
        <x:f>IF(D19=0,"一致","要確認")</x:f>
        <x:v>一致</x:v>
      </x:c>
      <x:c r="F19" s="1"/>
      <x:c r="G19" s="1"/>
      <x:c r="H19" s="1"/>
      <x:c r="I19" s="1"/>
      <x:c r="J19" s="1"/>
    </x:row>
    <x:row r="20" ht="25" customHeight="1">
      <x:c r="A20" s="1" t="str">
        <x:v>Meta 行数</x:v>
      </x:c>
      <x:c r="B20" s="4" t="n">
        <x:f>COUNTA('架空入力'!A11:A13)</x:f>
        <x:v>3</x:v>
      </x:c>
      <x:c r="C20" s="4" t="n">
        <x:f>COUNTIFS(A11:A15,"Meta広告")</x:f>
        <x:v>3</x:v>
      </x:c>
      <x:c r="D20" s="4" t="n">
        <x:f>C20-B20</x:f>
        <x:v>0</x:v>
      </x:c>
      <x:c r="E20" s="1" t="str">
        <x:f>IF(D20=0,"一致","要確認")</x:f>
        <x:v>一致</x:v>
      </x:c>
      <x:c r="F20" s="1"/>
      <x:c r="G20" s="1"/>
      <x:c r="H20" s="1"/>
      <x:c r="I20" s="1"/>
      <x:c r="J20" s="1"/>
    </x:row>
    <x:row r="21" ht="25" customHeight="1">
      <x:c r="A21" s="1" t="str">
        <x:v>Google 数値費用</x:v>
      </x:c>
      <x:c r="B21" s="4" t="n">
        <x:f>SUM('架空入力'!E6:E7)</x:f>
        <x:v>25000</x:v>
      </x:c>
      <x:c r="C21" s="4" t="n">
        <x:f>SUMIFS(G11:G15,A11:A15,"Google広告")</x:f>
        <x:v>25000</x:v>
      </x:c>
      <x:c r="D21" s="4" t="n">
        <x:f>C21-B21</x:f>
        <x:v>0</x:v>
      </x:c>
      <x:c r="E21" s="1" t="str">
        <x:f>IF(D21=0,"一致","要確認")</x:f>
        <x:v>一致</x:v>
      </x:c>
      <x:c r="F21" s="1"/>
      <x:c r="G21" s="1"/>
      <x:c r="H21" s="1"/>
      <x:c r="I21" s="1"/>
      <x:c r="J21" s="1"/>
    </x:row>
    <x:row r="22" ht="25" customHeight="1">
      <x:c r="A22" s="1" t="str">
        <x:v>Meta 数値費用※</x:v>
      </x:c>
      <x:c r="B22" s="4" t="n">
        <x:f>SUM('架空入力'!E11:E13)</x:f>
        <x:v>30000</x:v>
      </x:c>
      <x:c r="C22" s="4" t="n">
        <x:f>SUMIFS(G11:G15,A11:A15,"Meta広告")</x:f>
        <x:v>30000</x:v>
      </x:c>
      <x:c r="D22" s="4" t="n">
        <x:f>C22-B22</x:f>
        <x:v>0</x:v>
      </x:c>
      <x:c r="E22" s="1" t="str">
        <x:f>IF(D22=0,"一致※","要確認")</x:f>
        <x:v>一致※</x:v>
      </x:c>
      <x:c r="F22" s="1"/>
      <x:c r="G22" s="1"/>
      <x:c r="H22" s="1"/>
      <x:c r="I22" s="1"/>
      <x:c r="J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5" customHeight="1">
      <x:c r="A24" s="1" t="str">
        <x:v>※Metaの30,000円は数値がある2行のみ。欠損行を含む月間合計ではありません。</x:v>
      </x:c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30" customHeight="1">
      <x:c r="A26" s="7" t="str">
        <x:v>要確認項目</x:v>
      </x:c>
      <x:c r="B26" s="7" t="str">
        <x:v>対象</x:v>
      </x:c>
      <x:c r="C26" s="7" t="str">
        <x:v>次の対応</x:v>
      </x:c>
      <x:c r="D26" s="1"/>
      <x:c r="E26" s="1"/>
      <x:c r="F26" s="1"/>
      <x:c r="G26" s="1"/>
      <x:c r="H26" s="1"/>
      <x:c r="I26" s="1"/>
      <x:c r="J26" s="1"/>
    </x:row>
    <x:row r="27" ht="25" customHeight="1">
      <x:c r="A27" s="1" t="str">
        <x:v>費用欠損</x:v>
      </x:c>
      <x:c r="B27" s="1" t="str">
        <x:v>meta_fictional.csv 元行4</x:v>
      </x:c>
      <x:c r="C27" s="1" t="str">
        <x:v>提供者に数値を確認。推定・0埋め・行削除をしない</x:v>
      </x:c>
      <x:c r="D27" s="1"/>
      <x:c r="E27" s="1"/>
      <x:c r="F27" s="1"/>
      <x:c r="G27" s="1"/>
      <x:c r="H27" s="1"/>
      <x:c r="I27" s="1"/>
      <x:c r="J27" s="1"/>
    </x:row>
    <x:row r="28" ht="25" customHeight="1">
      <x:c r="A28" s="1" t="str">
        <x:v>クリック定義の違い</x:v>
      </x:c>
      <x:c r="B28" s="1" t="str">
        <x:v>clicks / link_clicks</x:v>
      </x:c>
      <x:c r="C28" s="1" t="str">
        <x:v>元指標名を保持。媒体横断の合計やCPAを作らない</x:v>
      </x:c>
      <x:c r="D28" s="1"/>
      <x:c r="E28" s="1"/>
      <x:c r="F28" s="1"/>
      <x:c r="G28" s="1"/>
      <x:c r="H28" s="1"/>
      <x:c r="I28" s="1"/>
      <x:c r="J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</x:sheetData>
  <x:conditionalFormatting sqref="J11:J15">
    <x:cfRule type="containsText" dxfId="0" priority="1" operator="containsText" text="要確認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17" hidden="0" customWidth="1"/>
    <x:col min="7" max="7" width="19" hidden="0" customWidth="1"/>
    <x:col min="8" max="8" width="65" hidden="0" customWidth="1"/>
    <x:col min="9" max="9" width="17" hidden="0" customWidth="1"/>
    <x:col min="10" max="10" width="17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2" t="str">
        <x:v>架空入力｜2媒体の異なる列構成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5" customHeight="1">
      <x:c r="A3" s="1" t="str">
        <x:v>作成者による架空値。実媒体の出力仕様・顧客実績ではありません。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7" t="str">
        <x:v>date</x:v>
      </x:c>
      <x:c r="B5" s="7" t="str">
        <x:v>campaign</x:v>
      </x:c>
      <x:c r="C5" s="7" t="str">
        <x:v>impressions</x:v>
      </x:c>
      <x:c r="D5" s="7" t="str">
        <x:v>clicks</x:v>
      </x:c>
      <x:c r="E5" s="7" t="str">
        <x:v>cost_jpy</x:v>
      </x:c>
      <x:c r="F5" s="1"/>
      <x:c r="G5" s="1"/>
      <x:c r="H5" s="1"/>
      <x:c r="I5" s="1"/>
      <x:c r="J5" s="1"/>
    </x:row>
    <x:row r="6" ht="25" customHeight="1">
      <x:c r="A6" s="3" t="n">
        <x:v>46235</x:v>
      </x:c>
      <x:c r="B6" s="1" t="str">
        <x:v>Search_A</x:v>
      </x:c>
      <x:c r="C6" s="4" t="n">
        <x:v>3200</x:v>
      </x:c>
      <x:c r="D6" s="4" t="n">
        <x:v>76</x:v>
      </x:c>
      <x:c r="E6" s="4" t="n">
        <x:v>18000</x:v>
      </x:c>
      <x:c r="F6" s="1"/>
      <x:c r="G6" s="1"/>
      <x:c r="H6" s="1"/>
      <x:c r="I6" s="1"/>
      <x:c r="J6" s="1"/>
    </x:row>
    <x:row r="7" ht="25" customHeight="1">
      <x:c r="A7" s="3" t="n">
        <x:v>46236</x:v>
      </x:c>
      <x:c r="B7" s="1" t="str">
        <x:v>Brand_B</x:v>
      </x:c>
      <x:c r="C7" s="4" t="n">
        <x:v>1900</x:v>
      </x:c>
      <x:c r="D7" s="4" t="n">
        <x:v>54</x:v>
      </x:c>
      <x:c r="E7" s="4" t="n">
        <x:v>7000</x:v>
      </x:c>
      <x:c r="F7" s="1"/>
      <x:c r="G7" s="1"/>
      <x:c r="H7" s="1"/>
      <x:c r="I7" s="1"/>
      <x:c r="J7" s="1"/>
    </x:row>
    <x:row r="8" ht="25" customHeight="1">
      <x:c r="A8" s="1"/>
      <x:c r="B8" s="1"/>
      <x:c r="C8" s="4"/>
      <x:c r="D8" s="4"/>
      <x:c r="E8" s="4"/>
      <x:c r="F8" s="1"/>
      <x:c r="G8" s="1"/>
      <x:c r="H8" s="1"/>
      <x:c r="I8" s="1"/>
      <x:c r="J8" s="1"/>
    </x:row>
    <x:row r="9" ht="25" customHeight="1">
      <x:c r="A9" s="1"/>
      <x:c r="B9" s="1"/>
      <x:c r="C9" s="4"/>
      <x:c r="D9" s="4"/>
      <x:c r="E9" s="4"/>
      <x:c r="F9" s="1"/>
      <x:c r="G9" s="1"/>
      <x:c r="H9" s="1"/>
      <x:c r="I9" s="1"/>
      <x:c r="J9" s="1"/>
    </x:row>
    <x:row r="10" ht="30" customHeight="1">
      <x:c r="A10" s="7" t="str">
        <x:v>reporting_date</x:v>
      </x:c>
      <x:c r="B10" s="7" t="str">
        <x:v>campaign_name</x:v>
      </x:c>
      <x:c r="C10" s="10" t="str">
        <x:v>impressions</x:v>
      </x:c>
      <x:c r="D10" s="10" t="str">
        <x:v>link_clicks</x:v>
      </x:c>
      <x:c r="E10" s="10" t="str">
        <x:v>spend_jpy</x:v>
      </x:c>
      <x:c r="F10" s="1"/>
      <x:c r="G10" s="1"/>
      <x:c r="H10" s="1"/>
      <x:c r="I10" s="1"/>
      <x:c r="J10" s="1"/>
    </x:row>
    <x:row r="11" ht="25" customHeight="1">
      <x:c r="A11" s="3" t="n">
        <x:v>46235</x:v>
      </x:c>
      <x:c r="B11" s="1" t="str">
        <x:v>Lead_C</x:v>
      </x:c>
      <x:c r="C11" s="4" t="n">
        <x:v>4400</x:v>
      </x:c>
      <x:c r="D11" s="4" t="n">
        <x:v>39</x:v>
      </x:c>
      <x:c r="E11" s="4" t="n">
        <x:v>19000</x:v>
      </x:c>
      <x:c r="F11" s="1"/>
      <x:c r="G11" s="1"/>
      <x:c r="H11" s="1"/>
      <x:c r="I11" s="1"/>
      <x:c r="J11" s="1"/>
    </x:row>
    <x:row r="12" ht="25" customHeight="1">
      <x:c r="A12" s="3" t="n">
        <x:v>46236</x:v>
      </x:c>
      <x:c r="B12" s="1" t="str">
        <x:v>Remarketing_D</x:v>
      </x:c>
      <x:c r="C12" s="4" t="n">
        <x:v>2100</x:v>
      </x:c>
      <x:c r="D12" s="4" t="n">
        <x:v>22</x:v>
      </x:c>
      <x:c r="E12" s="4" t="n">
        <x:v>11000</x:v>
      </x:c>
      <x:c r="F12" s="1"/>
      <x:c r="G12" s="1"/>
      <x:c r="H12" s="1"/>
      <x:c r="I12" s="1"/>
      <x:c r="J12" s="1"/>
    </x:row>
    <x:row r="13" ht="25" customHeight="1">
      <x:c r="A13" s="3" t="n">
        <x:v>46237</x:v>
      </x:c>
      <x:c r="B13" s="1" t="str">
        <x:v>Missing_cost</x:v>
      </x:c>
      <x:c r="C13" s="4" t="n">
        <x:v>1200</x:v>
      </x:c>
      <x:c r="D13" s="4" t="n">
        <x:v>12</x:v>
      </x:c>
      <x:c r="E13" s="4"/>
      <x:c r="F13" s="1"/>
      <x:c r="G13" s="1"/>
      <x:c r="H13" s="1"/>
      <x:c r="I13" s="1"/>
      <x:c r="J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30" customHeight="1">
      <x:c r="A16"/>
      <x:c r="B16"/>
      <x:c r="C16" s="1"/>
      <x:c r="D16" s="1"/>
      <x:c r="E16" s="1"/>
      <x:c r="F16" s="1"/>
      <x:c r="G16" s="7" t="str">
        <x:v>この例の合意条件</x:v>
      </x:c>
      <x:c r="H16" s="7" t="str">
        <x:v>内容</x:v>
      </x:c>
      <x:c r="I16" s="1"/>
      <x:c r="J16" s="1"/>
    </x:row>
    <x:row r="17" ht="25" customHeight="1">
      <x:c r="A17"/>
      <x:c r="B17"/>
      <x:c r="C17" s="1"/>
      <x:c r="D17" s="1"/>
      <x:c r="E17" s="1"/>
      <x:c r="F17" s="1"/>
      <x:c r="G17" s="1" t="str">
        <x:v>報告期間</x:v>
      </x:c>
      <x:c r="H17" s="1" t="str">
        <x:v>2026-08-01〜2026-08-31</x:v>
      </x:c>
      <x:c r="I17" s="1"/>
      <x:c r="J17" s="1"/>
    </x:row>
    <x:row r="18" ht="25" customHeight="1">
      <x:c r="A18"/>
      <x:c r="B18"/>
      <x:c r="C18" s="1"/>
      <x:c r="D18" s="1"/>
      <x:c r="E18" s="1"/>
      <x:c r="F18" s="1"/>
      <x:c r="G18" s="1" t="str">
        <x:v>日付基準</x:v>
      </x:c>
      <x:c r="H18" s="1" t="str">
        <x:v>JSTの日別報告と仮定</x:v>
      </x:c>
      <x:c r="I18" s="1"/>
      <x:c r="J18" s="1"/>
    </x:row>
    <x:row r="19" ht="25" customHeight="1">
      <x:c r="A19"/>
      <x:c r="B19"/>
      <x:c r="C19" s="1"/>
      <x:c r="D19" s="1"/>
      <x:c r="E19" s="1"/>
      <x:c r="F19" s="1"/>
      <x:c r="G19" s="1" t="str">
        <x:v>通貨</x:v>
      </x:c>
      <x:c r="H19" s="1" t="str">
        <x:v>JPY。換算しない</x:v>
      </x:c>
      <x:c r="I19" s="1"/>
      <x:c r="J19" s="1"/>
    </x:row>
    <x:row r="20" ht="25" customHeight="1">
      <x:c r="A20"/>
      <x:c r="B20"/>
      <x:c r="C20" s="1"/>
      <x:c r="D20" s="1"/>
      <x:c r="E20" s="1"/>
      <x:c r="F20" s="1"/>
      <x:c r="G20" s="1" t="str">
        <x:v>費用</x:v>
      </x:c>
      <x:c r="H20" s="1" t="str">
        <x:v>税・代理店手数料を含めない架空の配信費</x:v>
      </x:c>
      <x:c r="I20" s="1"/>
      <x:c r="J20" s="1"/>
    </x:row>
    <x:row r="21" ht="25" customHeight="1">
      <x:c r="A21"/>
      <x:c r="B21"/>
      <x:c r="C21" s="1"/>
      <x:c r="D21" s="1"/>
      <x:c r="E21" s="1"/>
      <x:c r="F21" s="1"/>
      <x:c r="G21" s="1" t="str">
        <x:v>集計単位</x:v>
      </x:c>
      <x:c r="H21" s="1" t="str">
        <x:v>日付×キャンペーン。粒度違いを混ぜない</x:v>
      </x:c>
      <x:c r="I21" s="1"/>
      <x:c r="J21" s="1"/>
    </x:row>
    <x:row r="22" ht="25" customHeight="1">
      <x:c r="A22"/>
      <x:c r="B22"/>
      <x:c r="C22" s="1"/>
      <x:c r="D22" s="1"/>
      <x:c r="E22" s="1"/>
      <x:c r="F22" s="1"/>
      <x:c r="G22" s="1" t="str">
        <x:v>クリック</x:v>
      </x:c>
      <x:c r="H22" s="1" t="str">
        <x:v>Google: clicks / Meta: link_clicks。合算しない</x:v>
      </x:c>
      <x:c r="I22" s="1"/>
      <x:c r="J22" s="1"/>
    </x:row>
    <x:row r="23" ht="25" customHeight="1">
      <x:c r="A23"/>
      <x:c r="B23"/>
      <x:c r="C23" s="1"/>
      <x:c r="D23" s="1"/>
      <x:c r="E23" s="1"/>
      <x:c r="F23" s="1"/>
      <x:c r="G23" s="1" t="str">
        <x:v>欠損</x:v>
      </x:c>
      <x:c r="H23" s="1" t="str">
        <x:v>空欄を0にしない。元行を保持して要確認にする</x:v>
      </x:c>
      <x:c r="I23" s="1"/>
      <x:c r="J23" s="1"/>
    </x:row>
    <x:row r="24" ht="25" customHeight="1">
      <x:c r="A24"/>
      <x:c r="B24"/>
      <x:c r="C24" s="1"/>
      <x:c r="D24" s="1"/>
      <x:c r="E24" s="1"/>
      <x:c r="F24" s="1"/>
      <x:c r="G24" s="1" t="str">
        <x:v>更新</x:v>
      </x:c>
      <x:c r="H24" s="1" t="str">
        <x:v>固定5行の納品見本。実案件は合意した列対応で再生成</x:v>
      </x:c>
      <x:c r="I24" s="1"/>
      <x:c r="J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</x:sheetData>
  <x:pageMargins left="0.7" right="0.7" top="0.75" bottom="0.75" header="0.3" footer="0.3"/>
</x:worksheet>
</file>